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enes to include" sheetId="2" state="visible" r:id="rId4"/>
    <sheet name="Do not include" sheetId="3" state="visible" r:id="rId5"/>
    <sheet name="Coun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<sst xmlns="http://schemas.openxmlformats.org/spreadsheetml/2006/main" count="382" uniqueCount="258">
  <si>
    <t xml:space="preserve">RP Hope - genes to include on the website, with search terms</t>
  </si>
  <si>
    <t xml:space="preserve">Compiled 22 August 2026</t>
  </si>
  <si>
    <t xml:space="preserve">*** MEDICAL CONTENT - CLINICIAN REVIEW BEFORE PUBLISHING ***</t>
  </si>
  <si>
    <t xml:space="preserve">THE RULE USED</t>
  </si>
  <si>
    <t xml:space="preserve">A gene is included if someone diagnosed with RP could get that gene back on a genetic test.</t>
  </si>
  <si>
    <t xml:space="preserve">That is the only test applied.</t>
  </si>
  <si>
    <t xml:space="preserve">HOW WE GOT TO 94</t>
  </si>
  <si>
    <t xml:space="preserve">Started from your 104 rows.</t>
  </si>
  <si>
    <t xml:space="preserve">  -7  locus names that are not genes (RP6, RP17, RP22, RP24, RP29, RP34, RP51)</t>
  </si>
  <si>
    <t xml:space="preserve">  -2  duplicate rows (BBS3 is ARL6; USH3A is CLRN1)</t>
  </si>
  <si>
    <t xml:space="preserve">  -3  no supporting evidence found (NEK1, BEST2, ENSA)</t>
  </si>
  <si>
    <t xml:space="preserve">  +2  genes you were missing (OFD1, TTC8)</t>
  </si>
  <si>
    <t xml:space="preserve">  =94 genes. C8orf37 was renamed to CFAP418 and LCA corrected to LCA5, not removed.</t>
  </si>
  <si>
    <t xml:space="preserve">See the "Do not include" tab for the reasoning on each dropped row.</t>
  </si>
  <si>
    <t xml:space="preserve">HOW TO USE THE SEARCH COLUMNS</t>
  </si>
  <si>
    <t xml:space="preserve">Column B - other gene names. Papers use whatever the gene was called at the time. Search</t>
  </si>
  <si>
    <t xml:space="preserve">  "CFAP418 OR C8orf37", not just CFAP418, or you miss a decade of research.</t>
  </si>
  <si>
    <t xml:space="preserve">Column C - disease names. Someone with a CLRN1 result may find far more under "Usher</t>
  </si>
  <si>
    <t xml:space="preserve">  syndrome type 3" than under the gene symbol. Same for the Bardet-Biedl and LCA genes.</t>
  </si>
  <si>
    <t xml:space="preserve">Feed the API: gene name OR everything in columns B and C.</t>
  </si>
  <si>
    <t xml:space="preserve">IMPORTANT LIMIT ON COLUMN B</t>
  </si>
  <si>
    <t xml:space="preserve">Column B holds only aliases I could verify against HGNC, NCBI GTR, or GeneReviews. Blank means</t>
  </si>
  <si>
    <t xml:space="preserve">"not verified," NOT "none exist." Most RP genes also carry a locus alias (RP1 through RP80-odd)</t>
  </si>
  <si>
    <t xml:space="preserve">that I did not type in from memory, because a wrong alias sends the pipeline after the wrong</t>
  </si>
  <si>
    <t xml:space="preserve">literature. Better fix: have the pipeline pull the "Also known as" field from NCBI Gene for all</t>
  </si>
  <si>
    <t xml:space="preserve">94 genes at run time. That is one API loop and it will always be current.</t>
  </si>
  <si>
    <t xml:space="preserve">EVIDENCE TIER (column D)</t>
  </si>
  <si>
    <t xml:space="preserve">Established        - in GeneReviews NBK1417. 80 genes. Safe to state plainly.</t>
  </si>
  <si>
    <t xml:space="preserve">Reported           - real RP gene, published after the April 2023 GeneReviews revision.</t>
  </si>
  <si>
    <t xml:space="preserve">Candidate          - one or two reports only. Page must say the evidence is limited.</t>
  </si>
  <si>
    <t xml:space="preserve">Phenotype-adjacent - causes something else where RP is one feature. Page must explain that.</t>
  </si>
  <si>
    <t xml:space="preserve">Disputed           - listed historically but later evidence did not support it.</t>
  </si>
  <si>
    <t xml:space="preserve">This tier belongs in the database as a field. Without it, a patient cannot tell the difference</t>
  </si>
  <si>
    <t xml:space="preserve">between RHO, which causes most dominant RP, and PROS1, which has two families behind it.</t>
  </si>
  <si>
    <t xml:space="preserve">Gene (page name)</t>
  </si>
  <si>
    <t xml:space="preserve">Also search as - other gene names</t>
  </si>
  <si>
    <t xml:space="preserve">Also search as - disease terms</t>
  </si>
  <si>
    <t xml:space="preserve">Evidence tier</t>
  </si>
  <si>
    <t xml:space="preserve">Notes / how to frame the page</t>
  </si>
  <si>
    <t xml:space="preserve">ABCA4</t>
  </si>
  <si>
    <t xml:space="preserve">Stargardt disease</t>
  </si>
  <si>
    <t xml:space="preserve">Established</t>
  </si>
  <si>
    <t xml:space="preserve">High-dose vitamin A is contraindicated in ABCA4 disease. Say so on the page.</t>
  </si>
  <si>
    <t xml:space="preserve">ADGRA3</t>
  </si>
  <si>
    <t xml:space="preserve">GPR125</t>
  </si>
  <si>
    <t xml:space="preserve">Renamed from GPR125. Older papers use the old symbol.</t>
  </si>
  <si>
    <t xml:space="preserve">ADIPOR1</t>
  </si>
  <si>
    <t xml:space="preserve">Candidate</t>
  </si>
  <si>
    <t xml:space="preserve">Not in GeneReviews. Few reports. Label the evidence as limited.</t>
  </si>
  <si>
    <t xml:space="preserve">AGBL5</t>
  </si>
  <si>
    <t xml:space="preserve">AHR</t>
  </si>
  <si>
    <t xml:space="preserve">ARHGEF18</t>
  </si>
  <si>
    <t xml:space="preserve">RP78; P114-RhoGEF; p114RhoGEF; SA-RhoGEF</t>
  </si>
  <si>
    <t xml:space="preserve">Reported</t>
  </si>
  <si>
    <t xml:space="preserve">Real RP gene, published after the 2023 GeneReviews revision.</t>
  </si>
  <si>
    <t xml:space="preserve">ARL2BP</t>
  </si>
  <si>
    <t xml:space="preserve">RP66; RP82; BART; BART1</t>
  </si>
  <si>
    <t xml:space="preserve">ARL3</t>
  </si>
  <si>
    <t xml:space="preserve">RP83; ARFL3; JBTS35</t>
  </si>
  <si>
    <t xml:space="preserve">Joubert syndrome</t>
  </si>
  <si>
    <t xml:space="preserve">ARL6</t>
  </si>
  <si>
    <t xml:space="preserve">BBS3; RP55</t>
  </si>
  <si>
    <t xml:space="preserve">Bardet-Biedl syndrome</t>
  </si>
  <si>
    <t xml:space="preserve">Your BBS3 row is this gene. Keep BBS3 as a search term only.</t>
  </si>
  <si>
    <t xml:space="preserve">BBS1</t>
  </si>
  <si>
    <t xml:space="preserve">BBS2L2</t>
  </si>
  <si>
    <t xml:space="preserve">Causes nonsyndromic RP on its own, which is why it belongs here.</t>
  </si>
  <si>
    <t xml:space="preserve">BBS2</t>
  </si>
  <si>
    <t xml:space="preserve">Causes nonsyndromic RP on its own.</t>
  </si>
  <si>
    <t xml:space="preserve">BEST1</t>
  </si>
  <si>
    <t xml:space="preserve">VMD2</t>
  </si>
  <si>
    <t xml:space="preserve">Bestrophinopathy; vitelliform macular dystrophy; Best disease</t>
  </si>
  <si>
    <t xml:space="preserve">Can be dominant OR recessive.</t>
  </si>
  <si>
    <t xml:space="preserve">CA4</t>
  </si>
  <si>
    <t xml:space="preserve">CERKL</t>
  </si>
  <si>
    <t xml:space="preserve">Cone-rod dystrophy</t>
  </si>
  <si>
    <t xml:space="preserve">CFAP418</t>
  </si>
  <si>
    <t xml:space="preserve">C8orf37</t>
  </si>
  <si>
    <t xml:space="preserve">Renamed from C8orf37. Most papers still say C8orf37 - search both.</t>
  </si>
  <si>
    <t xml:space="preserve">CLCC1</t>
  </si>
  <si>
    <t xml:space="preserve">CLRN1</t>
  </si>
  <si>
    <t xml:space="preserve">USH3A</t>
  </si>
  <si>
    <t xml:space="preserve">Usher syndrome type 3; Usher syndrome type 3A</t>
  </si>
  <si>
    <t xml:space="preserve">This is the gene behind USH3A. Page should be CLRN1, USH3A a search term.</t>
  </si>
  <si>
    <t xml:space="preserve">CNGA1</t>
  </si>
  <si>
    <t xml:space="preserve">CNGB1</t>
  </si>
  <si>
    <t xml:space="preserve">CRB1</t>
  </si>
  <si>
    <t xml:space="preserve">Leber congenital amaurosis; Coats-like exudative vasculopathy</t>
  </si>
  <si>
    <t xml:space="preserve">CRX</t>
  </si>
  <si>
    <t xml:space="preserve">Leber congenital amaurosis; cone-rod dystrophy</t>
  </si>
  <si>
    <t xml:space="preserve">CWC27</t>
  </si>
  <si>
    <t xml:space="preserve">Retinal degeneration with brachydactyly</t>
  </si>
  <si>
    <t xml:space="preserve">Phenotype-adjacent</t>
  </si>
  <si>
    <t xml:space="preserve">RP is part of a broader syndrome. Page must say what else is involved.</t>
  </si>
  <si>
    <t xml:space="preserve">CYP4V2</t>
  </si>
  <si>
    <t xml:space="preserve">Bietti crystalline dystrophy</t>
  </si>
  <si>
    <t xml:space="preserve">DHDDS</t>
  </si>
  <si>
    <t xml:space="preserve">RP59</t>
  </si>
  <si>
    <t xml:space="preserve">RP59 is the locus name for this gene, not a separate entry.</t>
  </si>
  <si>
    <t xml:space="preserve">DHX38</t>
  </si>
  <si>
    <t xml:space="preserve">EMC1</t>
  </si>
  <si>
    <t xml:space="preserve">EYS</t>
  </si>
  <si>
    <t xml:space="preserve">One of the most common causes worldwide.</t>
  </si>
  <si>
    <t xml:space="preserve">FAM161A</t>
  </si>
  <si>
    <t xml:space="preserve">FSCN2</t>
  </si>
  <si>
    <t xml:space="preserve">Disputed</t>
  </si>
  <si>
    <t xml:space="preserve">GeneReviews lists it but calls it an unlikely cause. Page must say that.</t>
  </si>
  <si>
    <t xml:space="preserve">GUCA1B</t>
  </si>
  <si>
    <t xml:space="preserve">HGSNAT</t>
  </si>
  <si>
    <t xml:space="preserve">Mucopolysaccharidosis IIIC; Sanfilippo syndrome type C</t>
  </si>
  <si>
    <t xml:space="preserve">HK1</t>
  </si>
  <si>
    <t xml:space="preserve">IDH3B</t>
  </si>
  <si>
    <t xml:space="preserve">IFT140</t>
  </si>
  <si>
    <t xml:space="preserve">Mainzer-Saldino syndrome; short-rib thoracic dysplasia</t>
  </si>
  <si>
    <t xml:space="preserve">IFT172</t>
  </si>
  <si>
    <t xml:space="preserve">Short-rib thoracic dysplasia; Bardet-Biedl syndrome</t>
  </si>
  <si>
    <t xml:space="preserve">IMPDH1</t>
  </si>
  <si>
    <t xml:space="preserve">Leber congenital amaurosis</t>
  </si>
  <si>
    <t xml:space="preserve">IMPG1</t>
  </si>
  <si>
    <t xml:space="preserve">Vitelliform macular dystrophy</t>
  </si>
  <si>
    <t xml:space="preserve">Primarily a macular dystrophy gene. Frame carefully.</t>
  </si>
  <si>
    <t xml:space="preserve">IMPG2</t>
  </si>
  <si>
    <t xml:space="preserve">INPP5E</t>
  </si>
  <si>
    <t xml:space="preserve">Joubert syndrome; MORM syndrome; retinal ciliopathy</t>
  </si>
  <si>
    <t xml:space="preserve">Keep the retinal-ciliopathy framing already on the live page.</t>
  </si>
  <si>
    <t xml:space="preserve">KIAA1549</t>
  </si>
  <si>
    <t xml:space="preserve">KIF3B</t>
  </si>
  <si>
    <t xml:space="preserve">Not in GeneReviews. Evidence is emerging. Label it as limited.</t>
  </si>
  <si>
    <t xml:space="preserve">KIZ</t>
  </si>
  <si>
    <t xml:space="preserve">KLHL7</t>
  </si>
  <si>
    <t xml:space="preserve">LCA5</t>
  </si>
  <si>
    <t xml:space="preserve">This is your LCA typo row. Primarily an LCA gene, not classic RP.</t>
  </si>
  <si>
    <t xml:space="preserve">LRAT</t>
  </si>
  <si>
    <t xml:space="preserve">Leber congenital amaurosis; early-onset retinal dystrophy</t>
  </si>
  <si>
    <t xml:space="preserve">MAK</t>
  </si>
  <si>
    <t xml:space="preserve">MERTK</t>
  </si>
  <si>
    <t xml:space="preserve">A gene therapy trial has been run for MERTK RP. Worth flagging to patients.</t>
  </si>
  <si>
    <t xml:space="preserve">MVK</t>
  </si>
  <si>
    <t xml:space="preserve">Mevalonate kinase deficiency</t>
  </si>
  <si>
    <t xml:space="preserve">NEK2</t>
  </si>
  <si>
    <t xml:space="preserve">Your NEK1 row was almost certainly meant to be this. NEK1 is not an RP gene.</t>
  </si>
  <si>
    <t xml:space="preserve">NEUROD1</t>
  </si>
  <si>
    <t xml:space="preserve">NR2E3</t>
  </si>
  <si>
    <t xml:space="preserve">Enhanced S-cone syndrome; Goldmann-Favre syndrome</t>
  </si>
  <si>
    <t xml:space="preserve">NRL</t>
  </si>
  <si>
    <t xml:space="preserve">OFD1</t>
  </si>
  <si>
    <t xml:space="preserve">Oral-facial-digital syndrome type 1; Joubert syndrome</t>
  </si>
  <si>
    <t xml:space="preserve">MISSING FROM YOUR LIST. X-linked. Needs a new page.</t>
  </si>
  <si>
    <t xml:space="preserve">PCARE</t>
  </si>
  <si>
    <t xml:space="preserve">C2orf71</t>
  </si>
  <si>
    <t xml:space="preserve">Renamed from C2orf71. Search both.</t>
  </si>
  <si>
    <t xml:space="preserve">PDE6A</t>
  </si>
  <si>
    <t xml:space="preserve">PDE6B</t>
  </si>
  <si>
    <t xml:space="preserve">PDE6G</t>
  </si>
  <si>
    <t xml:space="preserve">POMGNT1</t>
  </si>
  <si>
    <t xml:space="preserve">Muscle-eye-brain disease</t>
  </si>
  <si>
    <t xml:space="preserve">PRCD</t>
  </si>
  <si>
    <t xml:space="preserve">PROM1</t>
  </si>
  <si>
    <t xml:space="preserve">Stargardt-like macular dystrophy; cone-rod dystrophy</t>
  </si>
  <si>
    <t xml:space="preserve">PROS1</t>
  </si>
  <si>
    <t xml:space="preserve">Protein S deficiency</t>
  </si>
  <si>
    <t xml:space="preserve">One 2019 paper, two families, authors call it a candidate gene. Say so.</t>
  </si>
  <si>
    <t xml:space="preserve">PRPF3</t>
  </si>
  <si>
    <t xml:space="preserve">PRPF4</t>
  </si>
  <si>
    <t xml:space="preserve">Real adRP gene, not in the GeneReviews table.</t>
  </si>
  <si>
    <t xml:space="preserve">PRPF6</t>
  </si>
  <si>
    <t xml:space="preserve">PRPF8</t>
  </si>
  <si>
    <t xml:space="preserve">PRPF31</t>
  </si>
  <si>
    <t xml:space="preserve">Some variants hide in noncoding DNA and are missed by standard panels.</t>
  </si>
  <si>
    <t xml:space="preserve">PRPH2</t>
  </si>
  <si>
    <t xml:space="preserve">RDS; RP7; TSPAN22; AOFMD; AVMD; CACD2; MDBS1</t>
  </si>
  <si>
    <t xml:space="preserve">Macular dystrophy; pattern dystrophy; digenic RP</t>
  </si>
  <si>
    <t xml:space="preserve">Very common cause. Older papers say RDS. Digenic with ROM1.</t>
  </si>
  <si>
    <t xml:space="preserve">RBP3</t>
  </si>
  <si>
    <t xml:space="preserve">IRBP</t>
  </si>
  <si>
    <t xml:space="preserve">RDH12</t>
  </si>
  <si>
    <t xml:space="preserve">REEP6</t>
  </si>
  <si>
    <t xml:space="preserve">Real arRP gene, published after the 2023 GeneReviews revision.</t>
  </si>
  <si>
    <t xml:space="preserve">RGR</t>
  </si>
  <si>
    <t xml:space="preserve">RHO</t>
  </si>
  <si>
    <t xml:space="preserve">Congenital stationary night blindness</t>
  </si>
  <si>
    <t xml:space="preserve">The single most common cause of dominant RP.</t>
  </si>
  <si>
    <t xml:space="preserve">RLBP1</t>
  </si>
  <si>
    <t xml:space="preserve">Bothnia retinal dystrophy; retinitis punctata albescens</t>
  </si>
  <si>
    <t xml:space="preserve">ROM1</t>
  </si>
  <si>
    <t xml:space="preserve">Digenic RP</t>
  </si>
  <si>
    <t xml:space="preserve">Causes RP together with PRPH2. Explain the pairing on both pages.</t>
  </si>
  <si>
    <t xml:space="preserve">RP1</t>
  </si>
  <si>
    <t xml:space="preserve">DCDC4A; ORP1</t>
  </si>
  <si>
    <t xml:space="preserve">RP1L1</t>
  </si>
  <si>
    <t xml:space="preserve">Occult macular dystrophy</t>
  </si>
  <si>
    <t xml:space="preserve">RP2</t>
  </si>
  <si>
    <t xml:space="preserve">X-linked.</t>
  </si>
  <si>
    <t xml:space="preserve">RP9</t>
  </si>
  <si>
    <t xml:space="preserve">PAP1</t>
  </si>
  <si>
    <t xml:space="preserve">GeneReviews says the PAP1 evidence was not supported later. Page must say that.</t>
  </si>
  <si>
    <t xml:space="preserve">RPE65</t>
  </si>
  <si>
    <t xml:space="preserve">Leber congenital amaurosis; Luxturna</t>
  </si>
  <si>
    <t xml:space="preserve">FDA-approved gene therapy exists for this gene. Biggest page on the site.</t>
  </si>
  <si>
    <t xml:space="preserve">RPGR</t>
  </si>
  <si>
    <t xml:space="preserve">RP3</t>
  </si>
  <si>
    <t xml:space="preserve">X-linked, most common xlRP cause. The ORF15 region is often missed by panels.</t>
  </si>
  <si>
    <t xml:space="preserve">SAG</t>
  </si>
  <si>
    <t xml:space="preserve">Oguchi disease</t>
  </si>
  <si>
    <t xml:space="preserve">SAMD11</t>
  </si>
  <si>
    <t xml:space="preserve">SEMA4A</t>
  </si>
  <si>
    <t xml:space="preserve">SLC7A14</t>
  </si>
  <si>
    <t xml:space="preserve">SNRNP200</t>
  </si>
  <si>
    <t xml:space="preserve">SPATA7</t>
  </si>
  <si>
    <t xml:space="preserve">SPP2</t>
  </si>
  <si>
    <t xml:space="preserve">TOPORS</t>
  </si>
  <si>
    <t xml:space="preserve">TRNT1</t>
  </si>
  <si>
    <t xml:space="preserve">SIFD; sideroblastic anemia with immunodeficiency</t>
  </si>
  <si>
    <t xml:space="preserve">TTC8</t>
  </si>
  <si>
    <t xml:space="preserve">BBS8</t>
  </si>
  <si>
    <t xml:space="preserve">MISSING FROM YOUR LIST. Needs a new page.</t>
  </si>
  <si>
    <t xml:space="preserve">TULP1</t>
  </si>
  <si>
    <t xml:space="preserve">USH2A</t>
  </si>
  <si>
    <t xml:space="preserve">Usher syndrome type 2; Usher syndrome type 2A; usherin</t>
  </si>
  <si>
    <t xml:space="preserve">Gene and disease share a name here. Your current page name is correct.</t>
  </si>
  <si>
    <t xml:space="preserve">ZNF408</t>
  </si>
  <si>
    <t xml:space="preserve">ZNF513</t>
  </si>
  <si>
    <t xml:space="preserve">Row on your list</t>
  </si>
  <si>
    <t xml:space="preserve">Why</t>
  </si>
  <si>
    <t xml:space="preserve">What to do</t>
  </si>
  <si>
    <t xml:space="preserve">RP6</t>
  </si>
  <si>
    <t xml:space="preserve">Locus, not a gene</t>
  </si>
  <si>
    <t xml:space="preserve">No gene was ever identified for this map region. No lab report says RP6.</t>
  </si>
  <si>
    <t xml:space="preserve">RP17</t>
  </si>
  <si>
    <t xml:space="preserve">No gene assigned. Remove.</t>
  </si>
  <si>
    <t xml:space="preserve">RP22</t>
  </si>
  <si>
    <t xml:space="preserve">RP24</t>
  </si>
  <si>
    <t xml:space="preserve">RP29</t>
  </si>
  <si>
    <t xml:space="preserve">RP34</t>
  </si>
  <si>
    <t xml:space="preserve">RP51</t>
  </si>
  <si>
    <t xml:space="preserve">BBS3</t>
  </si>
  <si>
    <t xml:space="preserve">Duplicate</t>
  </si>
  <si>
    <t xml:space="preserve">Same gene as ARL6. Merge into the ARL6 page, redirect the URL.</t>
  </si>
  <si>
    <t xml:space="preserve">Same gene as CLRN1. Merge into the CLRN1 page, redirect the URL.</t>
  </si>
  <si>
    <t xml:space="preserve">Renamed</t>
  </si>
  <si>
    <t xml:space="preserve">Now called CFAP418. Rename the page, keep C8orf37 as a search term.</t>
  </si>
  <si>
    <t xml:space="preserve">LCA</t>
  </si>
  <si>
    <t xml:space="preserve">Typo</t>
  </si>
  <si>
    <t xml:space="preserve">Meant LCA5. See the LCA5 row on the main tab.</t>
  </si>
  <si>
    <t xml:space="preserve">NEK1</t>
  </si>
  <si>
    <t xml:space="preserve">Not an RP gene</t>
  </si>
  <si>
    <t xml:space="preserve">No RP association found. NEK1 causes short-rib dysplasia and is an ALS risk gene. Almost certainly meant NEK2, which you already have.</t>
  </si>
  <si>
    <t xml:space="preserve">BEST2</t>
  </si>
  <si>
    <t xml:space="preserve">No supporting evidence</t>
  </si>
  <si>
    <t xml:space="preserve">Your own page quotes EyeWiki, but the quote is about BEST1 and says only BEST1 has been linked to human eye disease. GeneCards lists no RP link. Page already reads "inconclusive cause." Ask Carin before deleting.</t>
  </si>
  <si>
    <t xml:space="preserve">ENSA</t>
  </si>
  <si>
    <t xml:space="preserve">No RP association found anywhere. ENSA regulates potassium channels in pancreatic cells and is a diabetes candidate gene. Ask Carin where this row came from.</t>
  </si>
  <si>
    <t xml:space="preserve">Metric</t>
  </si>
  <si>
    <t xml:space="preserve">Count</t>
  </si>
  <si>
    <t xml:space="preserve">Genes to include</t>
  </si>
  <si>
    <t xml:space="preserve">With a verified alias to search</t>
  </si>
  <si>
    <t xml:space="preserve">With disease terms to search</t>
  </si>
  <si>
    <t xml:space="preserve">Rows dropped</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</si>
</sst>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C0000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b val="true"/>
      <sz val="10"/>
      <color rgb="FFC0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CE4D6"/>
        <bgColor rgb="FFFFF2CC"/>
      </patternFill>
    </fill>
    <fill>
      <patternFill patternType="solid">
        <fgColor rgb="FFFFF2CC"/>
        <bgColor rgb="FFFCE4D6"/>
      </patternFill>
    </fill>
    <fill>
      <patternFill patternType="solid">
        <fgColor rgb="FFDDEBF7"/>
        <bgColor rgb="FFE2EFDA"/>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row>
    <row r="6" customFormat="false" ht="15" hidden="false" customHeight="false" outlineLevel="0" collapsed="false">
      <c r="A6" s="4"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4"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4"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row>
    <row r="26" customFormat="false" ht="15" hidden="false" customHeight="false" outlineLevel="0" collapsed="false">
      <c r="A26" s="4" t="s">
        <v>20</v>
      </c>
    </row>
    <row r="27" customFormat="false" ht="15" hidden="false" customHeight="false" outlineLevel="0" collapsed="false">
      <c r="A27" s="2" t="s">
        <v>21</v>
      </c>
    </row>
    <row r="28" customFormat="false" ht="15" hidden="false" customHeight="false" outlineLevel="0" collapsed="false">
      <c r="A28" s="2" t="s">
        <v>22</v>
      </c>
    </row>
    <row r="29" customFormat="false" ht="1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t="s">
        <v>25</v>
      </c>
    </row>
    <row r="32" customFormat="false" ht="15" hidden="false" customHeight="false" outlineLevel="0" collapsed="false">
      <c r="A32" s="2"/>
    </row>
    <row r="33" customFormat="false" ht="15" hidden="false" customHeight="false" outlineLevel="0" collapsed="false">
      <c r="A33" s="4" t="s">
        <v>26</v>
      </c>
    </row>
    <row r="34" customFormat="false" ht="15" hidden="false" customHeight="false" outlineLevel="0" collapsed="false">
      <c r="A34" s="2" t="s">
        <v>27</v>
      </c>
    </row>
    <row r="35" customFormat="false" ht="15" hidden="false" customHeight="false" outlineLevel="0" collapsed="false">
      <c r="A35" s="2" t="s">
        <v>28</v>
      </c>
    </row>
    <row r="36" customFormat="false" ht="15" hidden="false" customHeight="false" outlineLevel="0" collapsed="false">
      <c r="A36" s="2" t="s">
        <v>29</v>
      </c>
    </row>
    <row r="37" customFormat="false" ht="15" hidden="false" customHeight="false" outlineLevel="0" collapsed="false">
      <c r="A37" s="2" t="s">
        <v>30</v>
      </c>
    </row>
    <row r="38" customFormat="false" ht="15" hidden="false" customHeight="false" outlineLevel="0" collapsed="false">
      <c r="A38" s="2" t="s">
        <v>31</v>
      </c>
    </row>
    <row r="39" customFormat="false" ht="15" hidden="false" customHeight="false" outlineLevel="0" collapsed="false">
      <c r="A39" s="2"/>
    </row>
    <row r="40" customFormat="false" ht="15" hidden="false" customHeight="false" outlineLevel="0" collapsed="false">
      <c r="A40" s="2" t="s">
        <v>32</v>
      </c>
    </row>
    <row r="41" customFormat="false" ht="15" hidden="false" customHeight="false" outlineLevel="0" collapsed="false">
      <c r="A41" s="2"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38"/>
    <col collapsed="false" customWidth="true" hidden="false" outlineLevel="0" max="4" min="4" style="0" width="19"/>
    <col collapsed="false" customWidth="true" hidden="false" outlineLevel="0" max="5" min="5" style="0" width="62"/>
  </cols>
  <sheetData>
    <row r="1" customFormat="false" ht="31.5" hidden="false" customHeight="true" outlineLevel="0" collapsed="false">
      <c r="A1" s="5" t="s">
        <v>34</v>
      </c>
      <c r="B1" s="5" t="s">
        <v>35</v>
      </c>
      <c r="C1" s="5" t="s">
        <v>36</v>
      </c>
      <c r="D1" s="5" t="s">
        <v>37</v>
      </c>
      <c r="E1" s="5" t="s">
        <v>38</v>
      </c>
    </row>
    <row r="2" customFormat="false" ht="23.85" hidden="false" customHeight="false" outlineLevel="0" collapsed="false">
      <c r="A2" s="6" t="s">
        <v>39</v>
      </c>
      <c r="B2" s="7"/>
      <c r="C2" s="7" t="s">
        <v>40</v>
      </c>
      <c r="D2" s="8" t="s">
        <v>41</v>
      </c>
      <c r="E2" s="7" t="s">
        <v>42</v>
      </c>
    </row>
    <row r="3" customFormat="false" ht="15" hidden="false" customHeight="false" outlineLevel="0" collapsed="false">
      <c r="A3" s="6" t="s">
        <v>43</v>
      </c>
      <c r="B3" s="7" t="s">
        <v>44</v>
      </c>
      <c r="C3" s="7"/>
      <c r="D3" s="8" t="s">
        <v>41</v>
      </c>
      <c r="E3" s="7" t="s">
        <v>45</v>
      </c>
    </row>
    <row r="4" customFormat="false" ht="15" hidden="false" customHeight="false" outlineLevel="0" collapsed="false">
      <c r="A4" s="6" t="s">
        <v>46</v>
      </c>
      <c r="B4" s="7"/>
      <c r="C4" s="7"/>
      <c r="D4" s="9" t="s">
        <v>47</v>
      </c>
      <c r="E4" s="7" t="s">
        <v>48</v>
      </c>
    </row>
    <row r="5" customFormat="false" ht="15" hidden="false" customHeight="false" outlineLevel="0" collapsed="false">
      <c r="A5" s="6" t="s">
        <v>49</v>
      </c>
      <c r="B5" s="7"/>
      <c r="C5" s="7"/>
      <c r="D5" s="8" t="s">
        <v>41</v>
      </c>
      <c r="E5" s="7"/>
    </row>
    <row r="6" customFormat="false" ht="15" hidden="false" customHeight="false" outlineLevel="0" collapsed="false">
      <c r="A6" s="6" t="s">
        <v>50</v>
      </c>
      <c r="B6" s="7"/>
      <c r="C6" s="7"/>
      <c r="D6" s="9" t="s">
        <v>47</v>
      </c>
      <c r="E6" s="7" t="s">
        <v>48</v>
      </c>
    </row>
    <row r="7" customFormat="false" ht="23.85" hidden="false" customHeight="false" outlineLevel="0" collapsed="false">
      <c r="A7" s="6" t="s">
        <v>51</v>
      </c>
      <c r="B7" s="7" t="s">
        <v>52</v>
      </c>
      <c r="C7" s="7"/>
      <c r="D7" s="10" t="s">
        <v>53</v>
      </c>
      <c r="E7" s="7" t="s">
        <v>54</v>
      </c>
    </row>
    <row r="8" customFormat="false" ht="15" hidden="false" customHeight="false" outlineLevel="0" collapsed="false">
      <c r="A8" s="6" t="s">
        <v>55</v>
      </c>
      <c r="B8" s="7" t="s">
        <v>56</v>
      </c>
      <c r="C8" s="7"/>
      <c r="D8" s="8" t="s">
        <v>41</v>
      </c>
      <c r="E8" s="7"/>
    </row>
    <row r="9" customFormat="false" ht="15" hidden="false" customHeight="false" outlineLevel="0" collapsed="false">
      <c r="A9" s="6" t="s">
        <v>57</v>
      </c>
      <c r="B9" s="7" t="s">
        <v>58</v>
      </c>
      <c r="C9" s="7" t="s">
        <v>59</v>
      </c>
      <c r="D9" s="8" t="s">
        <v>41</v>
      </c>
      <c r="E9" s="7"/>
    </row>
    <row r="10" customFormat="false" ht="15" hidden="false" customHeight="false" outlineLevel="0" collapsed="false">
      <c r="A10" s="6" t="s">
        <v>60</v>
      </c>
      <c r="B10" s="7" t="s">
        <v>61</v>
      </c>
      <c r="C10" s="7" t="s">
        <v>62</v>
      </c>
      <c r="D10" s="8" t="s">
        <v>41</v>
      </c>
      <c r="E10" s="7" t="s">
        <v>63</v>
      </c>
    </row>
    <row r="11" customFormat="false" ht="15" hidden="false" customHeight="false" outlineLevel="0" collapsed="false">
      <c r="A11" s="6" t="s">
        <v>64</v>
      </c>
      <c r="B11" s="7" t="s">
        <v>65</v>
      </c>
      <c r="C11" s="7" t="s">
        <v>62</v>
      </c>
      <c r="D11" s="8" t="s">
        <v>41</v>
      </c>
      <c r="E11" s="7" t="s">
        <v>66</v>
      </c>
    </row>
    <row r="12" customFormat="false" ht="15" hidden="false" customHeight="false" outlineLevel="0" collapsed="false">
      <c r="A12" s="6" t="s">
        <v>67</v>
      </c>
      <c r="B12" s="7"/>
      <c r="C12" s="7" t="s">
        <v>62</v>
      </c>
      <c r="D12" s="8" t="s">
        <v>41</v>
      </c>
      <c r="E12" s="7" t="s">
        <v>68</v>
      </c>
    </row>
    <row r="13" customFormat="false" ht="23.85" hidden="false" customHeight="false" outlineLevel="0" collapsed="false">
      <c r="A13" s="6" t="s">
        <v>69</v>
      </c>
      <c r="B13" s="7" t="s">
        <v>70</v>
      </c>
      <c r="C13" s="7" t="s">
        <v>71</v>
      </c>
      <c r="D13" s="8" t="s">
        <v>41</v>
      </c>
      <c r="E13" s="7" t="s">
        <v>72</v>
      </c>
    </row>
    <row r="14" customFormat="false" ht="15" hidden="false" customHeight="false" outlineLevel="0" collapsed="false">
      <c r="A14" s="6" t="s">
        <v>73</v>
      </c>
      <c r="B14" s="7"/>
      <c r="C14" s="7"/>
      <c r="D14" s="8" t="s">
        <v>41</v>
      </c>
      <c r="E14" s="7"/>
    </row>
    <row r="15" customFormat="false" ht="15" hidden="false" customHeight="false" outlineLevel="0" collapsed="false">
      <c r="A15" s="6" t="s">
        <v>74</v>
      </c>
      <c r="B15" s="7"/>
      <c r="C15" s="7" t="s">
        <v>75</v>
      </c>
      <c r="D15" s="8" t="s">
        <v>41</v>
      </c>
      <c r="E15" s="7"/>
    </row>
    <row r="16" customFormat="false" ht="15" hidden="false" customHeight="false" outlineLevel="0" collapsed="false">
      <c r="A16" s="6" t="s">
        <v>76</v>
      </c>
      <c r="B16" s="7" t="s">
        <v>77</v>
      </c>
      <c r="C16" s="7" t="s">
        <v>62</v>
      </c>
      <c r="D16" s="8" t="s">
        <v>41</v>
      </c>
      <c r="E16" s="7" t="s">
        <v>78</v>
      </c>
    </row>
    <row r="17" customFormat="false" ht="15" hidden="false" customHeight="false" outlineLevel="0" collapsed="false">
      <c r="A17" s="6" t="s">
        <v>79</v>
      </c>
      <c r="B17" s="7"/>
      <c r="C17" s="7"/>
      <c r="D17" s="10" t="s">
        <v>53</v>
      </c>
      <c r="E17" s="7" t="s">
        <v>54</v>
      </c>
    </row>
    <row r="18" customFormat="false" ht="23.85" hidden="false" customHeight="false" outlineLevel="0" collapsed="false">
      <c r="A18" s="6" t="s">
        <v>80</v>
      </c>
      <c r="B18" s="7" t="s">
        <v>81</v>
      </c>
      <c r="C18" s="7" t="s">
        <v>82</v>
      </c>
      <c r="D18" s="8" t="s">
        <v>41</v>
      </c>
      <c r="E18" s="7" t="s">
        <v>83</v>
      </c>
    </row>
    <row r="19" customFormat="false" ht="15" hidden="false" customHeight="false" outlineLevel="0" collapsed="false">
      <c r="A19" s="6" t="s">
        <v>84</v>
      </c>
      <c r="B19" s="7"/>
      <c r="C19" s="7"/>
      <c r="D19" s="8" t="s">
        <v>41</v>
      </c>
      <c r="E19" s="7"/>
    </row>
    <row r="20" customFormat="false" ht="15" hidden="false" customHeight="false" outlineLevel="0" collapsed="false">
      <c r="A20" s="6" t="s">
        <v>85</v>
      </c>
      <c r="B20" s="7"/>
      <c r="C20" s="7"/>
      <c r="D20" s="8" t="s">
        <v>41</v>
      </c>
      <c r="E20" s="7"/>
    </row>
    <row r="21" customFormat="false" ht="23.85" hidden="false" customHeight="false" outlineLevel="0" collapsed="false">
      <c r="A21" s="6" t="s">
        <v>86</v>
      </c>
      <c r="B21" s="7"/>
      <c r="C21" s="7" t="s">
        <v>87</v>
      </c>
      <c r="D21" s="8" t="s">
        <v>41</v>
      </c>
      <c r="E21" s="7"/>
    </row>
    <row r="22" customFormat="false" ht="23.85" hidden="false" customHeight="false" outlineLevel="0" collapsed="false">
      <c r="A22" s="6" t="s">
        <v>88</v>
      </c>
      <c r="B22" s="7"/>
      <c r="C22" s="7" t="s">
        <v>89</v>
      </c>
      <c r="D22" s="8" t="s">
        <v>41</v>
      </c>
      <c r="E22" s="7"/>
    </row>
    <row r="23" customFormat="false" ht="15" hidden="false" customHeight="false" outlineLevel="0" collapsed="false">
      <c r="A23" s="6" t="s">
        <v>90</v>
      </c>
      <c r="B23" s="7"/>
      <c r="C23" s="7" t="s">
        <v>91</v>
      </c>
      <c r="D23" s="11" t="s">
        <v>92</v>
      </c>
      <c r="E23" s="7" t="s">
        <v>93</v>
      </c>
    </row>
    <row r="24" customFormat="false" ht="15" hidden="false" customHeight="false" outlineLevel="0" collapsed="false">
      <c r="A24" s="6" t="s">
        <v>94</v>
      </c>
      <c r="B24" s="7"/>
      <c r="C24" s="7" t="s">
        <v>95</v>
      </c>
      <c r="D24" s="8" t="s">
        <v>41</v>
      </c>
      <c r="E24" s="7"/>
    </row>
    <row r="25" customFormat="false" ht="15" hidden="false" customHeight="false" outlineLevel="0" collapsed="false">
      <c r="A25" s="6" t="s">
        <v>96</v>
      </c>
      <c r="B25" s="7" t="s">
        <v>97</v>
      </c>
      <c r="C25" s="7"/>
      <c r="D25" s="8" t="s">
        <v>41</v>
      </c>
      <c r="E25" s="7" t="s">
        <v>98</v>
      </c>
    </row>
    <row r="26" customFormat="false" ht="15" hidden="false" customHeight="false" outlineLevel="0" collapsed="false">
      <c r="A26" s="6" t="s">
        <v>99</v>
      </c>
      <c r="B26" s="7"/>
      <c r="C26" s="7"/>
      <c r="D26" s="8" t="s">
        <v>41</v>
      </c>
      <c r="E26" s="7"/>
    </row>
    <row r="27" customFormat="false" ht="15" hidden="false" customHeight="false" outlineLevel="0" collapsed="false">
      <c r="A27" s="6" t="s">
        <v>100</v>
      </c>
      <c r="B27" s="7"/>
      <c r="C27" s="7"/>
      <c r="D27" s="8" t="s">
        <v>41</v>
      </c>
      <c r="E27" s="7"/>
    </row>
    <row r="28" customFormat="false" ht="15" hidden="false" customHeight="false" outlineLevel="0" collapsed="false">
      <c r="A28" s="6" t="s">
        <v>101</v>
      </c>
      <c r="B28" s="7"/>
      <c r="C28" s="7"/>
      <c r="D28" s="8" t="s">
        <v>41</v>
      </c>
      <c r="E28" s="7" t="s">
        <v>102</v>
      </c>
    </row>
    <row r="29" customFormat="false" ht="15" hidden="false" customHeight="false" outlineLevel="0" collapsed="false">
      <c r="A29" s="6" t="s">
        <v>103</v>
      </c>
      <c r="B29" s="7"/>
      <c r="C29" s="7"/>
      <c r="D29" s="8" t="s">
        <v>41</v>
      </c>
      <c r="E29" s="7"/>
    </row>
    <row r="30" customFormat="false" ht="15" hidden="false" customHeight="false" outlineLevel="0" collapsed="false">
      <c r="A30" s="6" t="s">
        <v>104</v>
      </c>
      <c r="B30" s="7"/>
      <c r="C30" s="7"/>
      <c r="D30" s="12" t="s">
        <v>105</v>
      </c>
      <c r="E30" s="7" t="s">
        <v>106</v>
      </c>
    </row>
    <row r="31" customFormat="false" ht="15" hidden="false" customHeight="false" outlineLevel="0" collapsed="false">
      <c r="A31" s="6" t="s">
        <v>107</v>
      </c>
      <c r="B31" s="7"/>
      <c r="C31" s="7"/>
      <c r="D31" s="8" t="s">
        <v>41</v>
      </c>
      <c r="E31" s="7"/>
    </row>
    <row r="32" customFormat="false" ht="23.85" hidden="false" customHeight="false" outlineLevel="0" collapsed="false">
      <c r="A32" s="6" t="s">
        <v>108</v>
      </c>
      <c r="B32" s="7"/>
      <c r="C32" s="7" t="s">
        <v>109</v>
      </c>
      <c r="D32" s="8" t="s">
        <v>41</v>
      </c>
      <c r="E32" s="7"/>
    </row>
    <row r="33" customFormat="false" ht="15" hidden="false" customHeight="false" outlineLevel="0" collapsed="false">
      <c r="A33" s="6" t="s">
        <v>110</v>
      </c>
      <c r="B33" s="7"/>
      <c r="C33" s="7"/>
      <c r="D33" s="8" t="s">
        <v>41</v>
      </c>
      <c r="E33" s="7"/>
    </row>
    <row r="34" customFormat="false" ht="15" hidden="false" customHeight="false" outlineLevel="0" collapsed="false">
      <c r="A34" s="6" t="s">
        <v>111</v>
      </c>
      <c r="B34" s="7"/>
      <c r="C34" s="7"/>
      <c r="D34" s="8" t="s">
        <v>41</v>
      </c>
      <c r="E34" s="7"/>
    </row>
    <row r="35" customFormat="false" ht="23.85" hidden="false" customHeight="false" outlineLevel="0" collapsed="false">
      <c r="A35" s="6" t="s">
        <v>112</v>
      </c>
      <c r="B35" s="7"/>
      <c r="C35" s="7" t="s">
        <v>113</v>
      </c>
      <c r="D35" s="8" t="s">
        <v>41</v>
      </c>
      <c r="E35" s="7"/>
    </row>
    <row r="36" customFormat="false" ht="23.85" hidden="false" customHeight="false" outlineLevel="0" collapsed="false">
      <c r="A36" s="6" t="s">
        <v>114</v>
      </c>
      <c r="B36" s="7"/>
      <c r="C36" s="7" t="s">
        <v>115</v>
      </c>
      <c r="D36" s="8" t="s">
        <v>41</v>
      </c>
      <c r="E36" s="7"/>
    </row>
    <row r="37" customFormat="false" ht="15" hidden="false" customHeight="false" outlineLevel="0" collapsed="false">
      <c r="A37" s="6" t="s">
        <v>116</v>
      </c>
      <c r="B37" s="7"/>
      <c r="C37" s="7" t="s">
        <v>117</v>
      </c>
      <c r="D37" s="8" t="s">
        <v>41</v>
      </c>
      <c r="E37" s="7"/>
    </row>
    <row r="38" customFormat="false" ht="15" hidden="false" customHeight="false" outlineLevel="0" collapsed="false">
      <c r="A38" s="6" t="s">
        <v>118</v>
      </c>
      <c r="B38" s="7"/>
      <c r="C38" s="7" t="s">
        <v>119</v>
      </c>
      <c r="D38" s="10" t="s">
        <v>53</v>
      </c>
      <c r="E38" s="7" t="s">
        <v>120</v>
      </c>
    </row>
    <row r="39" customFormat="false" ht="15" hidden="false" customHeight="false" outlineLevel="0" collapsed="false">
      <c r="A39" s="6" t="s">
        <v>121</v>
      </c>
      <c r="B39" s="7"/>
      <c r="C39" s="7"/>
      <c r="D39" s="8" t="s">
        <v>41</v>
      </c>
      <c r="E39" s="7"/>
    </row>
    <row r="40" customFormat="false" ht="23.85" hidden="false" customHeight="false" outlineLevel="0" collapsed="false">
      <c r="A40" s="6" t="s">
        <v>122</v>
      </c>
      <c r="B40" s="7"/>
      <c r="C40" s="7" t="s">
        <v>123</v>
      </c>
      <c r="D40" s="11" t="s">
        <v>92</v>
      </c>
      <c r="E40" s="7" t="s">
        <v>124</v>
      </c>
    </row>
    <row r="41" customFormat="false" ht="15" hidden="false" customHeight="false" outlineLevel="0" collapsed="false">
      <c r="A41" s="6" t="s">
        <v>125</v>
      </c>
      <c r="B41" s="7"/>
      <c r="C41" s="7"/>
      <c r="D41" s="8" t="s">
        <v>41</v>
      </c>
      <c r="E41" s="7"/>
    </row>
    <row r="42" customFormat="false" ht="15" hidden="false" customHeight="false" outlineLevel="0" collapsed="false">
      <c r="A42" s="6" t="s">
        <v>126</v>
      </c>
      <c r="B42" s="7"/>
      <c r="C42" s="7"/>
      <c r="D42" s="9" t="s">
        <v>47</v>
      </c>
      <c r="E42" s="7" t="s">
        <v>127</v>
      </c>
    </row>
    <row r="43" customFormat="false" ht="15" hidden="false" customHeight="false" outlineLevel="0" collapsed="false">
      <c r="A43" s="6" t="s">
        <v>128</v>
      </c>
      <c r="B43" s="7"/>
      <c r="C43" s="7"/>
      <c r="D43" s="8" t="s">
        <v>41</v>
      </c>
      <c r="E43" s="7"/>
    </row>
    <row r="44" customFormat="false" ht="15" hidden="false" customHeight="false" outlineLevel="0" collapsed="false">
      <c r="A44" s="6" t="s">
        <v>129</v>
      </c>
      <c r="B44" s="7"/>
      <c r="C44" s="7"/>
      <c r="D44" s="8" t="s">
        <v>41</v>
      </c>
      <c r="E44" s="7"/>
    </row>
    <row r="45" customFormat="false" ht="15" hidden="false" customHeight="false" outlineLevel="0" collapsed="false">
      <c r="A45" s="6" t="s">
        <v>130</v>
      </c>
      <c r="B45" s="7"/>
      <c r="C45" s="7" t="s">
        <v>117</v>
      </c>
      <c r="D45" s="11" t="s">
        <v>92</v>
      </c>
      <c r="E45" s="7" t="s">
        <v>131</v>
      </c>
    </row>
    <row r="46" customFormat="false" ht="23.85" hidden="false" customHeight="false" outlineLevel="0" collapsed="false">
      <c r="A46" s="6" t="s">
        <v>132</v>
      </c>
      <c r="B46" s="7"/>
      <c r="C46" s="7" t="s">
        <v>133</v>
      </c>
      <c r="D46" s="8" t="s">
        <v>41</v>
      </c>
      <c r="E46" s="7"/>
    </row>
    <row r="47" customFormat="false" ht="15" hidden="false" customHeight="false" outlineLevel="0" collapsed="false">
      <c r="A47" s="6" t="s">
        <v>134</v>
      </c>
      <c r="B47" s="7"/>
      <c r="C47" s="7"/>
      <c r="D47" s="8" t="s">
        <v>41</v>
      </c>
      <c r="E47" s="7"/>
    </row>
    <row r="48" customFormat="false" ht="15" hidden="false" customHeight="false" outlineLevel="0" collapsed="false">
      <c r="A48" s="6" t="s">
        <v>135</v>
      </c>
      <c r="B48" s="7"/>
      <c r="C48" s="7"/>
      <c r="D48" s="8" t="s">
        <v>41</v>
      </c>
      <c r="E48" s="7" t="s">
        <v>136</v>
      </c>
    </row>
    <row r="49" customFormat="false" ht="15" hidden="false" customHeight="false" outlineLevel="0" collapsed="false">
      <c r="A49" s="6" t="s">
        <v>137</v>
      </c>
      <c r="B49" s="7"/>
      <c r="C49" s="7" t="s">
        <v>138</v>
      </c>
      <c r="D49" s="8" t="s">
        <v>41</v>
      </c>
      <c r="E49" s="7"/>
    </row>
    <row r="50" customFormat="false" ht="23.85" hidden="false" customHeight="false" outlineLevel="0" collapsed="false">
      <c r="A50" s="6" t="s">
        <v>139</v>
      </c>
      <c r="B50" s="7"/>
      <c r="C50" s="7"/>
      <c r="D50" s="8" t="s">
        <v>41</v>
      </c>
      <c r="E50" s="7" t="s">
        <v>140</v>
      </c>
    </row>
    <row r="51" customFormat="false" ht="15" hidden="false" customHeight="false" outlineLevel="0" collapsed="false">
      <c r="A51" s="6" t="s">
        <v>141</v>
      </c>
      <c r="B51" s="7"/>
      <c r="C51" s="7"/>
      <c r="D51" s="8" t="s">
        <v>41</v>
      </c>
      <c r="E51" s="7"/>
    </row>
    <row r="52" customFormat="false" ht="23.85" hidden="false" customHeight="false" outlineLevel="0" collapsed="false">
      <c r="A52" s="6" t="s">
        <v>142</v>
      </c>
      <c r="B52" s="7"/>
      <c r="C52" s="7" t="s">
        <v>143</v>
      </c>
      <c r="D52" s="8" t="s">
        <v>41</v>
      </c>
      <c r="E52" s="7" t="s">
        <v>72</v>
      </c>
    </row>
    <row r="53" customFormat="false" ht="15" hidden="false" customHeight="false" outlineLevel="0" collapsed="false">
      <c r="A53" s="6" t="s">
        <v>144</v>
      </c>
      <c r="B53" s="7"/>
      <c r="C53" s="7"/>
      <c r="D53" s="8" t="s">
        <v>41</v>
      </c>
      <c r="E53" s="7" t="s">
        <v>72</v>
      </c>
    </row>
    <row r="54" customFormat="false" ht="23.85" hidden="false" customHeight="false" outlineLevel="0" collapsed="false">
      <c r="A54" s="6" t="s">
        <v>145</v>
      </c>
      <c r="B54" s="7"/>
      <c r="C54" s="7" t="s">
        <v>146</v>
      </c>
      <c r="D54" s="8" t="s">
        <v>41</v>
      </c>
      <c r="E54" s="13" t="s">
        <v>147</v>
      </c>
    </row>
    <row r="55" customFormat="false" ht="15" hidden="false" customHeight="false" outlineLevel="0" collapsed="false">
      <c r="A55" s="6" t="s">
        <v>148</v>
      </c>
      <c r="B55" s="7" t="s">
        <v>149</v>
      </c>
      <c r="C55" s="7"/>
      <c r="D55" s="8" t="s">
        <v>41</v>
      </c>
      <c r="E55" s="7" t="s">
        <v>150</v>
      </c>
    </row>
    <row r="56" customFormat="false" ht="15" hidden="false" customHeight="false" outlineLevel="0" collapsed="false">
      <c r="A56" s="6" t="s">
        <v>151</v>
      </c>
      <c r="B56" s="7"/>
      <c r="C56" s="7"/>
      <c r="D56" s="8" t="s">
        <v>41</v>
      </c>
      <c r="E56" s="7"/>
    </row>
    <row r="57" customFormat="false" ht="15" hidden="false" customHeight="false" outlineLevel="0" collapsed="false">
      <c r="A57" s="6" t="s">
        <v>152</v>
      </c>
      <c r="B57" s="7"/>
      <c r="C57" s="7"/>
      <c r="D57" s="8" t="s">
        <v>41</v>
      </c>
      <c r="E57" s="7"/>
    </row>
    <row r="58" customFormat="false" ht="15" hidden="false" customHeight="false" outlineLevel="0" collapsed="false">
      <c r="A58" s="6" t="s">
        <v>153</v>
      </c>
      <c r="B58" s="7"/>
      <c r="C58" s="7"/>
      <c r="D58" s="8" t="s">
        <v>41</v>
      </c>
      <c r="E58" s="7"/>
    </row>
    <row r="59" customFormat="false" ht="15" hidden="false" customHeight="false" outlineLevel="0" collapsed="false">
      <c r="A59" s="6" t="s">
        <v>154</v>
      </c>
      <c r="B59" s="7"/>
      <c r="C59" s="7" t="s">
        <v>155</v>
      </c>
      <c r="D59" s="8" t="s">
        <v>41</v>
      </c>
      <c r="E59" s="7"/>
    </row>
    <row r="60" customFormat="false" ht="15" hidden="false" customHeight="false" outlineLevel="0" collapsed="false">
      <c r="A60" s="6" t="s">
        <v>156</v>
      </c>
      <c r="B60" s="7"/>
      <c r="C60" s="7"/>
      <c r="D60" s="8" t="s">
        <v>41</v>
      </c>
      <c r="E60" s="7"/>
    </row>
    <row r="61" customFormat="false" ht="23.85" hidden="false" customHeight="false" outlineLevel="0" collapsed="false">
      <c r="A61" s="6" t="s">
        <v>157</v>
      </c>
      <c r="B61" s="7"/>
      <c r="C61" s="7" t="s">
        <v>158</v>
      </c>
      <c r="D61" s="8" t="s">
        <v>41</v>
      </c>
      <c r="E61" s="7"/>
    </row>
    <row r="62" customFormat="false" ht="15" hidden="false" customHeight="false" outlineLevel="0" collapsed="false">
      <c r="A62" s="6" t="s">
        <v>159</v>
      </c>
      <c r="B62" s="7"/>
      <c r="C62" s="7" t="s">
        <v>160</v>
      </c>
      <c r="D62" s="9" t="s">
        <v>47</v>
      </c>
      <c r="E62" s="7" t="s">
        <v>161</v>
      </c>
    </row>
    <row r="63" customFormat="false" ht="15" hidden="false" customHeight="false" outlineLevel="0" collapsed="false">
      <c r="A63" s="6" t="s">
        <v>162</v>
      </c>
      <c r="B63" s="7"/>
      <c r="C63" s="7"/>
      <c r="D63" s="8" t="s">
        <v>41</v>
      </c>
      <c r="E63" s="7"/>
    </row>
    <row r="64" customFormat="false" ht="15" hidden="false" customHeight="false" outlineLevel="0" collapsed="false">
      <c r="A64" s="6" t="s">
        <v>163</v>
      </c>
      <c r="B64" s="7"/>
      <c r="C64" s="7"/>
      <c r="D64" s="10" t="s">
        <v>53</v>
      </c>
      <c r="E64" s="7" t="s">
        <v>164</v>
      </c>
    </row>
    <row r="65" customFormat="false" ht="15" hidden="false" customHeight="false" outlineLevel="0" collapsed="false">
      <c r="A65" s="6" t="s">
        <v>165</v>
      </c>
      <c r="B65" s="7"/>
      <c r="C65" s="7"/>
      <c r="D65" s="8" t="s">
        <v>41</v>
      </c>
      <c r="E65" s="7"/>
    </row>
    <row r="66" customFormat="false" ht="15" hidden="false" customHeight="false" outlineLevel="0" collapsed="false">
      <c r="A66" s="6" t="s">
        <v>166</v>
      </c>
      <c r="B66" s="7"/>
      <c r="C66" s="7"/>
      <c r="D66" s="8" t="s">
        <v>41</v>
      </c>
      <c r="E66" s="7"/>
    </row>
    <row r="67" customFormat="false" ht="15" hidden="false" customHeight="false" outlineLevel="0" collapsed="false">
      <c r="A67" s="6" t="s">
        <v>167</v>
      </c>
      <c r="B67" s="7"/>
      <c r="C67" s="7"/>
      <c r="D67" s="8" t="s">
        <v>41</v>
      </c>
      <c r="E67" s="7" t="s">
        <v>168</v>
      </c>
    </row>
    <row r="68" customFormat="false" ht="23.85" hidden="false" customHeight="false" outlineLevel="0" collapsed="false">
      <c r="A68" s="6" t="s">
        <v>169</v>
      </c>
      <c r="B68" s="7" t="s">
        <v>170</v>
      </c>
      <c r="C68" s="7" t="s">
        <v>171</v>
      </c>
      <c r="D68" s="8" t="s">
        <v>41</v>
      </c>
      <c r="E68" s="7" t="s">
        <v>172</v>
      </c>
    </row>
    <row r="69" customFormat="false" ht="15" hidden="false" customHeight="false" outlineLevel="0" collapsed="false">
      <c r="A69" s="6" t="s">
        <v>173</v>
      </c>
      <c r="B69" s="7" t="s">
        <v>174</v>
      </c>
      <c r="C69" s="7"/>
      <c r="D69" s="8" t="s">
        <v>41</v>
      </c>
      <c r="E69" s="7"/>
    </row>
    <row r="70" customFormat="false" ht="15" hidden="false" customHeight="false" outlineLevel="0" collapsed="false">
      <c r="A70" s="6" t="s">
        <v>175</v>
      </c>
      <c r="B70" s="7"/>
      <c r="C70" s="7" t="s">
        <v>117</v>
      </c>
      <c r="D70" s="8" t="s">
        <v>41</v>
      </c>
      <c r="E70" s="7"/>
    </row>
    <row r="71" customFormat="false" ht="15" hidden="false" customHeight="false" outlineLevel="0" collapsed="false">
      <c r="A71" s="6" t="s">
        <v>176</v>
      </c>
      <c r="B71" s="7"/>
      <c r="C71" s="7"/>
      <c r="D71" s="10" t="s">
        <v>53</v>
      </c>
      <c r="E71" s="7" t="s">
        <v>177</v>
      </c>
    </row>
    <row r="72" customFormat="false" ht="15" hidden="false" customHeight="false" outlineLevel="0" collapsed="false">
      <c r="A72" s="6" t="s">
        <v>178</v>
      </c>
      <c r="B72" s="7"/>
      <c r="C72" s="7"/>
      <c r="D72" s="8" t="s">
        <v>41</v>
      </c>
      <c r="E72" s="7"/>
    </row>
    <row r="73" customFormat="false" ht="15" hidden="false" customHeight="false" outlineLevel="0" collapsed="false">
      <c r="A73" s="6" t="s">
        <v>179</v>
      </c>
      <c r="B73" s="7"/>
      <c r="C73" s="7" t="s">
        <v>180</v>
      </c>
      <c r="D73" s="8" t="s">
        <v>41</v>
      </c>
      <c r="E73" s="7" t="s">
        <v>181</v>
      </c>
    </row>
    <row r="74" customFormat="false" ht="23.85" hidden="false" customHeight="false" outlineLevel="0" collapsed="false">
      <c r="A74" s="6" t="s">
        <v>182</v>
      </c>
      <c r="B74" s="7"/>
      <c r="C74" s="7" t="s">
        <v>183</v>
      </c>
      <c r="D74" s="8" t="s">
        <v>41</v>
      </c>
      <c r="E74" s="7"/>
    </row>
    <row r="75" customFormat="false" ht="15" hidden="false" customHeight="false" outlineLevel="0" collapsed="false">
      <c r="A75" s="6" t="s">
        <v>184</v>
      </c>
      <c r="B75" s="7"/>
      <c r="C75" s="7" t="s">
        <v>185</v>
      </c>
      <c r="D75" s="8" t="s">
        <v>41</v>
      </c>
      <c r="E75" s="7" t="s">
        <v>186</v>
      </c>
    </row>
    <row r="76" customFormat="false" ht="15" hidden="false" customHeight="false" outlineLevel="0" collapsed="false">
      <c r="A76" s="6" t="s">
        <v>187</v>
      </c>
      <c r="B76" s="7" t="s">
        <v>188</v>
      </c>
      <c r="C76" s="7"/>
      <c r="D76" s="8" t="s">
        <v>41</v>
      </c>
      <c r="E76" s="7" t="s">
        <v>72</v>
      </c>
    </row>
    <row r="77" customFormat="false" ht="15" hidden="false" customHeight="false" outlineLevel="0" collapsed="false">
      <c r="A77" s="6" t="s">
        <v>189</v>
      </c>
      <c r="B77" s="7"/>
      <c r="C77" s="7" t="s">
        <v>190</v>
      </c>
      <c r="D77" s="10" t="s">
        <v>53</v>
      </c>
      <c r="E77" s="7" t="s">
        <v>120</v>
      </c>
    </row>
    <row r="78" customFormat="false" ht="15" hidden="false" customHeight="false" outlineLevel="0" collapsed="false">
      <c r="A78" s="6" t="s">
        <v>191</v>
      </c>
      <c r="B78" s="7"/>
      <c r="C78" s="7"/>
      <c r="D78" s="8" t="s">
        <v>41</v>
      </c>
      <c r="E78" s="7" t="s">
        <v>192</v>
      </c>
    </row>
    <row r="79" customFormat="false" ht="23.85" hidden="false" customHeight="false" outlineLevel="0" collapsed="false">
      <c r="A79" s="6" t="s">
        <v>193</v>
      </c>
      <c r="B79" s="7" t="s">
        <v>194</v>
      </c>
      <c r="C79" s="7"/>
      <c r="D79" s="12" t="s">
        <v>105</v>
      </c>
      <c r="E79" s="7" t="s">
        <v>195</v>
      </c>
    </row>
    <row r="80" customFormat="false" ht="15" hidden="false" customHeight="false" outlineLevel="0" collapsed="false">
      <c r="A80" s="6" t="s">
        <v>196</v>
      </c>
      <c r="B80" s="7"/>
      <c r="C80" s="7" t="s">
        <v>197</v>
      </c>
      <c r="D80" s="8" t="s">
        <v>41</v>
      </c>
      <c r="E80" s="7" t="s">
        <v>198</v>
      </c>
    </row>
    <row r="81" customFormat="false" ht="23.85" hidden="false" customHeight="false" outlineLevel="0" collapsed="false">
      <c r="A81" s="6" t="s">
        <v>199</v>
      </c>
      <c r="B81" s="7" t="s">
        <v>200</v>
      </c>
      <c r="C81" s="7"/>
      <c r="D81" s="8" t="s">
        <v>41</v>
      </c>
      <c r="E81" s="7" t="s">
        <v>201</v>
      </c>
    </row>
    <row r="82" customFormat="false" ht="15" hidden="false" customHeight="false" outlineLevel="0" collapsed="false">
      <c r="A82" s="6" t="s">
        <v>202</v>
      </c>
      <c r="B82" s="7"/>
      <c r="C82" s="7" t="s">
        <v>203</v>
      </c>
      <c r="D82" s="8" t="s">
        <v>41</v>
      </c>
      <c r="E82" s="7"/>
    </row>
    <row r="83" customFormat="false" ht="15" hidden="false" customHeight="false" outlineLevel="0" collapsed="false">
      <c r="A83" s="6" t="s">
        <v>204</v>
      </c>
      <c r="B83" s="7"/>
      <c r="C83" s="7"/>
      <c r="D83" s="10" t="s">
        <v>53</v>
      </c>
      <c r="E83" s="7" t="s">
        <v>177</v>
      </c>
    </row>
    <row r="84" customFormat="false" ht="15" hidden="false" customHeight="false" outlineLevel="0" collapsed="false">
      <c r="A84" s="6" t="s">
        <v>205</v>
      </c>
      <c r="B84" s="7"/>
      <c r="C84" s="7"/>
      <c r="D84" s="8" t="s">
        <v>41</v>
      </c>
      <c r="E84" s="7"/>
    </row>
    <row r="85" customFormat="false" ht="15" hidden="false" customHeight="false" outlineLevel="0" collapsed="false">
      <c r="A85" s="6" t="s">
        <v>206</v>
      </c>
      <c r="B85" s="7"/>
      <c r="C85" s="7"/>
      <c r="D85" s="8" t="s">
        <v>41</v>
      </c>
      <c r="E85" s="7"/>
    </row>
    <row r="86" customFormat="false" ht="15" hidden="false" customHeight="false" outlineLevel="0" collapsed="false">
      <c r="A86" s="6" t="s">
        <v>207</v>
      </c>
      <c r="B86" s="7"/>
      <c r="C86" s="7"/>
      <c r="D86" s="8" t="s">
        <v>41</v>
      </c>
      <c r="E86" s="7"/>
    </row>
    <row r="87" customFormat="false" ht="15" hidden="false" customHeight="false" outlineLevel="0" collapsed="false">
      <c r="A87" s="6" t="s">
        <v>208</v>
      </c>
      <c r="B87" s="7"/>
      <c r="C87" s="7" t="s">
        <v>117</v>
      </c>
      <c r="D87" s="8" t="s">
        <v>41</v>
      </c>
      <c r="E87" s="7"/>
    </row>
    <row r="88" customFormat="false" ht="15" hidden="false" customHeight="false" outlineLevel="0" collapsed="false">
      <c r="A88" s="6" t="s">
        <v>209</v>
      </c>
      <c r="B88" s="7"/>
      <c r="C88" s="7"/>
      <c r="D88" s="8" t="s">
        <v>41</v>
      </c>
      <c r="E88" s="7"/>
    </row>
    <row r="89" customFormat="false" ht="15" hidden="false" customHeight="false" outlineLevel="0" collapsed="false">
      <c r="A89" s="6" t="s">
        <v>210</v>
      </c>
      <c r="B89" s="7"/>
      <c r="C89" s="7"/>
      <c r="D89" s="8" t="s">
        <v>41</v>
      </c>
      <c r="E89" s="7"/>
    </row>
    <row r="90" customFormat="false" ht="23.85" hidden="false" customHeight="false" outlineLevel="0" collapsed="false">
      <c r="A90" s="6" t="s">
        <v>211</v>
      </c>
      <c r="B90" s="7"/>
      <c r="C90" s="7" t="s">
        <v>212</v>
      </c>
      <c r="D90" s="8" t="s">
        <v>41</v>
      </c>
      <c r="E90" s="7"/>
    </row>
    <row r="91" customFormat="false" ht="15" hidden="false" customHeight="false" outlineLevel="0" collapsed="false">
      <c r="A91" s="6" t="s">
        <v>213</v>
      </c>
      <c r="B91" s="7" t="s">
        <v>214</v>
      </c>
      <c r="C91" s="7" t="s">
        <v>62</v>
      </c>
      <c r="D91" s="8" t="s">
        <v>41</v>
      </c>
      <c r="E91" s="13" t="s">
        <v>215</v>
      </c>
    </row>
    <row r="92" customFormat="false" ht="15" hidden="false" customHeight="false" outlineLevel="0" collapsed="false">
      <c r="A92" s="6" t="s">
        <v>216</v>
      </c>
      <c r="B92" s="7"/>
      <c r="C92" s="7" t="s">
        <v>117</v>
      </c>
      <c r="D92" s="8" t="s">
        <v>41</v>
      </c>
      <c r="E92" s="7"/>
    </row>
    <row r="93" customFormat="false" ht="23.85" hidden="false" customHeight="false" outlineLevel="0" collapsed="false">
      <c r="A93" s="6" t="s">
        <v>217</v>
      </c>
      <c r="B93" s="7"/>
      <c r="C93" s="7" t="s">
        <v>218</v>
      </c>
      <c r="D93" s="8" t="s">
        <v>41</v>
      </c>
      <c r="E93" s="7" t="s">
        <v>219</v>
      </c>
    </row>
    <row r="94" customFormat="false" ht="15" hidden="false" customHeight="false" outlineLevel="0" collapsed="false">
      <c r="A94" s="6" t="s">
        <v>220</v>
      </c>
      <c r="B94" s="7"/>
      <c r="C94" s="7"/>
      <c r="D94" s="8" t="s">
        <v>41</v>
      </c>
      <c r="E94" s="7"/>
    </row>
    <row r="95" customFormat="false" ht="15" hidden="false" customHeight="false" outlineLevel="0" collapsed="false">
      <c r="A95" s="6" t="s">
        <v>221</v>
      </c>
      <c r="B95" s="7"/>
      <c r="C95" s="7"/>
      <c r="D95" s="8" t="s">
        <v>41</v>
      </c>
      <c r="E95"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88"/>
  </cols>
  <sheetData>
    <row r="1" customFormat="false" ht="15" hidden="false" customHeight="false" outlineLevel="0" collapsed="false">
      <c r="A1" s="5" t="s">
        <v>222</v>
      </c>
      <c r="B1" s="5" t="s">
        <v>223</v>
      </c>
      <c r="C1" s="5" t="s">
        <v>224</v>
      </c>
    </row>
    <row r="2" customFormat="false" ht="15" hidden="false" customHeight="false" outlineLevel="0" collapsed="false">
      <c r="A2" s="6" t="s">
        <v>225</v>
      </c>
      <c r="B2" s="7" t="s">
        <v>226</v>
      </c>
      <c r="C2" s="7" t="s">
        <v>227</v>
      </c>
    </row>
    <row r="3" customFormat="false" ht="15" hidden="false" customHeight="false" outlineLevel="0" collapsed="false">
      <c r="A3" s="6" t="s">
        <v>228</v>
      </c>
      <c r="B3" s="7" t="s">
        <v>226</v>
      </c>
      <c r="C3" s="7" t="s">
        <v>229</v>
      </c>
    </row>
    <row r="4" customFormat="false" ht="15" hidden="false" customHeight="false" outlineLevel="0" collapsed="false">
      <c r="A4" s="6" t="s">
        <v>230</v>
      </c>
      <c r="B4" s="7" t="s">
        <v>226</v>
      </c>
      <c r="C4" s="7" t="s">
        <v>229</v>
      </c>
    </row>
    <row r="5" customFormat="false" ht="15" hidden="false" customHeight="false" outlineLevel="0" collapsed="false">
      <c r="A5" s="6" t="s">
        <v>231</v>
      </c>
      <c r="B5" s="7" t="s">
        <v>226</v>
      </c>
      <c r="C5" s="7" t="s">
        <v>229</v>
      </c>
    </row>
    <row r="6" customFormat="false" ht="15" hidden="false" customHeight="false" outlineLevel="0" collapsed="false">
      <c r="A6" s="6" t="s">
        <v>232</v>
      </c>
      <c r="B6" s="7" t="s">
        <v>226</v>
      </c>
      <c r="C6" s="7" t="s">
        <v>229</v>
      </c>
    </row>
    <row r="7" customFormat="false" ht="15" hidden="false" customHeight="false" outlineLevel="0" collapsed="false">
      <c r="A7" s="6" t="s">
        <v>233</v>
      </c>
      <c r="B7" s="7" t="s">
        <v>226</v>
      </c>
      <c r="C7" s="7" t="s">
        <v>229</v>
      </c>
    </row>
    <row r="8" customFormat="false" ht="15" hidden="false" customHeight="false" outlineLevel="0" collapsed="false">
      <c r="A8" s="6" t="s">
        <v>234</v>
      </c>
      <c r="B8" s="7" t="s">
        <v>226</v>
      </c>
      <c r="C8" s="7" t="s">
        <v>229</v>
      </c>
    </row>
    <row r="9" customFormat="false" ht="15" hidden="false" customHeight="false" outlineLevel="0" collapsed="false">
      <c r="A9" s="6" t="s">
        <v>235</v>
      </c>
      <c r="B9" s="7" t="s">
        <v>236</v>
      </c>
      <c r="C9" s="7" t="s">
        <v>237</v>
      </c>
    </row>
    <row r="10" customFormat="false" ht="15" hidden="false" customHeight="false" outlineLevel="0" collapsed="false">
      <c r="A10" s="6" t="s">
        <v>81</v>
      </c>
      <c r="B10" s="7" t="s">
        <v>236</v>
      </c>
      <c r="C10" s="7" t="s">
        <v>238</v>
      </c>
    </row>
    <row r="11" customFormat="false" ht="15" hidden="false" customHeight="false" outlineLevel="0" collapsed="false">
      <c r="A11" s="6" t="s">
        <v>77</v>
      </c>
      <c r="B11" s="7" t="s">
        <v>239</v>
      </c>
      <c r="C11" s="7" t="s">
        <v>240</v>
      </c>
    </row>
    <row r="12" customFormat="false" ht="15" hidden="false" customHeight="false" outlineLevel="0" collapsed="false">
      <c r="A12" s="6" t="s">
        <v>241</v>
      </c>
      <c r="B12" s="7" t="s">
        <v>242</v>
      </c>
      <c r="C12" s="7" t="s">
        <v>243</v>
      </c>
    </row>
    <row r="13" customFormat="false" ht="23.85" hidden="false" customHeight="false" outlineLevel="0" collapsed="false">
      <c r="A13" s="6" t="s">
        <v>244</v>
      </c>
      <c r="B13" s="7" t="s">
        <v>245</v>
      </c>
      <c r="C13" s="7" t="s">
        <v>246</v>
      </c>
    </row>
    <row r="14" customFormat="false" ht="35.05" hidden="false" customHeight="false" outlineLevel="0" collapsed="false">
      <c r="A14" s="6" t="s">
        <v>247</v>
      </c>
      <c r="B14" s="7" t="s">
        <v>248</v>
      </c>
      <c r="C14" s="7" t="s">
        <v>249</v>
      </c>
    </row>
    <row r="15" customFormat="false" ht="23.85" hidden="false" customHeight="false" outlineLevel="0" collapsed="false">
      <c r="A15" s="6" t="s">
        <v>250</v>
      </c>
      <c r="B15" s="7" t="s">
        <v>248</v>
      </c>
      <c r="C15" s="7"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s>
  <sheetData>
    <row r="1" customFormat="false" ht="15" hidden="false" customHeight="false" outlineLevel="0" collapsed="false">
      <c r="A1" s="14" t="s">
        <v>252</v>
      </c>
      <c r="B1" s="14" t="s">
        <v>253</v>
      </c>
    </row>
    <row r="2" customFormat="false" ht="15" hidden="false" customHeight="false" outlineLevel="0" collapsed="false">
      <c r="A2" s="15" t="s">
        <v>254</v>
      </c>
      <c r="B2" s="15" t="n">
        <f aca="false">COUNTA('Genes to include'!A2:A95)</f>
        <v>94</v>
      </c>
    </row>
    <row r="3" customFormat="false" ht="15" hidden="false" customHeight="false" outlineLevel="0" collapsed="false">
      <c r="A3" s="15" t="s">
        <v>41</v>
      </c>
      <c r="B3" s="15" t="n">
        <f aca="false">COUNTIF('Genes to include'!D2:D95,"Established")</f>
        <v>78</v>
      </c>
    </row>
    <row r="4" customFormat="false" ht="15" hidden="false" customHeight="false" outlineLevel="0" collapsed="false">
      <c r="A4" s="15" t="s">
        <v>53</v>
      </c>
      <c r="B4" s="15" t="n">
        <f aca="false">COUNTIF('Genes to include'!D2:D95,"Reported")</f>
        <v>7</v>
      </c>
    </row>
    <row r="5" customFormat="false" ht="15" hidden="false" customHeight="false" outlineLevel="0" collapsed="false">
      <c r="A5" s="15" t="s">
        <v>47</v>
      </c>
      <c r="B5" s="15" t="n">
        <f aca="false">COUNTIF('Genes to include'!D2:D95,"Candidate")</f>
        <v>4</v>
      </c>
    </row>
    <row r="6" customFormat="false" ht="15" hidden="false" customHeight="false" outlineLevel="0" collapsed="false">
      <c r="A6" s="15" t="s">
        <v>92</v>
      </c>
      <c r="B6" s="15" t="n">
        <f aca="false">COUNTIF('Genes to include'!D2:D95,"Phenotype-adjacent")</f>
        <v>3</v>
      </c>
    </row>
    <row r="7" customFormat="false" ht="15" hidden="false" customHeight="false" outlineLevel="0" collapsed="false">
      <c r="A7" s="15" t="s">
        <v>105</v>
      </c>
      <c r="B7" s="15" t="n">
        <f aca="false">COUNTIF('Genes to include'!D2:D95,"Disputed")</f>
        <v>2</v>
      </c>
    </row>
    <row r="8" customFormat="false" ht="15" hidden="false" customHeight="false" outlineLevel="0" collapsed="false">
      <c r="A8" s="15" t="s">
        <v>255</v>
      </c>
      <c r="B8" s="15" t="n">
        <f aca="false">COUNTIF('Genes to include'!B2:B95,"?*")</f>
        <v>17</v>
      </c>
    </row>
    <row r="9" customFormat="false" ht="15" hidden="false" customHeight="false" outlineLevel="0" collapsed="false">
      <c r="A9" s="15" t="s">
        <v>256</v>
      </c>
      <c r="B9" s="15" t="n">
        <f aca="false">COUNTIF('Genes to include'!C2:C95,"?*")</f>
        <v>40</v>
      </c>
    </row>
    <row r="10" customFormat="false" ht="15" hidden="false" customHeight="false" outlineLevel="0" collapsed="false">
      <c r="A10" s="15" t="s">
        <v>257</v>
      </c>
      <c r="B10" s="15" t="n">
        <f aca="false">COUNTA('Do not include'!A2:A15)</f>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2026-08-23T02:36:00Z</dcterms:created>
  <dc:creator>openpyxl</dc:creator>
  <dc:description/>
  <dc:language>en-US</dc:language>
  <cp:lastModifiedBy/>
  <dcterms:modified xsi:type="dcterms:W3CDTF">2026-08-23T02:36:00Z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